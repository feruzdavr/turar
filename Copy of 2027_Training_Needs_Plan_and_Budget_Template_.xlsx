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ionline-my.sharepoint.com/personal/timurmalik_buranov_cci_com_uz/Documents/Documents/"/>
    </mc:Choice>
  </mc:AlternateContent>
  <bookViews>
    <workbookView xWindow="-120" yWindow="-120" windowWidth="29040" windowHeight="17520" activeTab="2"/>
  </bookViews>
  <sheets>
    <sheet name="Instruction Eng" sheetId="3" r:id="rId3"/>
    <sheet name="Instruction Ru" sheetId="4" r:id="rId4"/>
    <sheet name="Training Details" sheetId="1" r:id="rId5"/>
    <sheet name="Sheet1" sheetId="5" r:id="rId6"/>
    <sheet name="Particiants " sheetId="2" r:id="rId7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<sst xmlns="http://schemas.openxmlformats.org/spreadsheetml/2006/main" count="450" uniqueCount="199">
  <si>
    <t>Department</t>
  </si>
  <si>
    <t xml:space="preserve">Training name </t>
  </si>
  <si>
    <t>Employee name</t>
  </si>
  <si>
    <t>Employee ID</t>
  </si>
  <si>
    <t xml:space="preserve">Function  </t>
  </si>
  <si>
    <t>Location</t>
  </si>
  <si>
    <t>Training Name</t>
  </si>
  <si>
    <t>Planned Date/Period</t>
  </si>
  <si>
    <t>Duration (Hours/Days)</t>
  </si>
  <si>
    <t>Training Provider/Vendor</t>
  </si>
  <si>
    <t>Total Cost</t>
  </si>
  <si>
    <t>Cost per Participant</t>
  </si>
  <si>
    <t>No. of Participants</t>
  </si>
  <si>
    <t>Priority (High/Medium/Low)</t>
  </si>
  <si>
    <t>Mandatory/Optional</t>
  </si>
  <si>
    <t>Budget Year</t>
  </si>
  <si>
    <t>Business Justification</t>
  </si>
  <si>
    <t>Responsible Person</t>
  </si>
  <si>
    <t>Function</t>
  </si>
  <si>
    <t>Instructions for Completing the 2027 Training Needs Template</t>
  </si>
  <si>
    <t>Purpose</t>
  </si>
  <si>
    <t>Training Details Sheet</t>
  </si>
  <si>
    <t>Participants Sheet</t>
  </si>
  <si>
    <t>Briefly explain the reason for the training request and the expected business impact. Justification may be based on:</t>
  </si>
  <si>
    <t>Priority Definition</t>
  </si>
  <si>
    <t>Mandatory / Optional</t>
  </si>
  <si>
    <t>Submission Requirements</t>
  </si>
  <si>
    <t>Complete all relevant fields.</t>
  </si>
  <si>
    <t>Verify that all participants listed in the Participants sheet correspond to a training included in the Training Details sheet.</t>
  </si>
  <si>
    <t>Ensure information is accurate before submission.</t>
  </si>
  <si>
    <t>Thank you for your cooperation and support in building the 2027 Learning &amp; Development Plan.</t>
  </si>
  <si>
    <r>
      <t xml:space="preserve">This template is designed to support the consolidation of the </t>
    </r>
    <r>
      <rPr>
        <b/>
        <sz val="11"/>
        <color theme="1"/>
        <rFont val="Arial"/>
        <family val="2"/>
      </rPr>
      <t>2027 Learning &amp; Development Plan and Budget</t>
    </r>
    <r>
      <rPr>
        <sz val="11"/>
        <color theme="1"/>
        <rFont val="Arial"/>
        <family val="2"/>
      </rPr>
      <t>.</t>
    </r>
  </si>
  <si>
    <r>
      <t xml:space="preserve">Please complete </t>
    </r>
    <r>
      <rPr>
        <b/>
        <sz val="11"/>
        <color theme="1"/>
        <rFont val="Arial"/>
        <family val="2"/>
      </rPr>
      <t>one row per training request</t>
    </r>
    <r>
      <rPr>
        <sz val="11"/>
        <color theme="1"/>
        <rFont val="Arial"/>
        <family val="2"/>
      </rPr>
      <t xml:space="preserve"> and ensure all applicable fields are completed accurately. Include the estimated budget, number of participants, priority level, business justification, and responsible person for each training.</t>
    </r>
  </si>
  <si>
    <r>
      <t xml:space="preserve">Please list all employees nominated for the trainings submitted in the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 xml:space="preserve"> sheet.</t>
    </r>
  </si>
  <si>
    <r>
      <t xml:space="preserve">Enter </t>
    </r>
    <r>
      <rPr>
        <b/>
        <sz val="11"/>
        <color theme="1"/>
        <rFont val="Arial"/>
        <family val="2"/>
      </rPr>
      <t>one employee per row</t>
    </r>
    <r>
      <rPr>
        <sz val="11"/>
        <color theme="1"/>
        <rFont val="Arial"/>
        <family val="2"/>
      </rPr>
      <t>.</t>
    </r>
  </si>
  <si>
    <r>
      <t xml:space="preserve">Ensure the </t>
    </r>
    <r>
      <rPr>
        <b/>
        <sz val="11"/>
        <color theme="1"/>
        <rFont val="Arial"/>
        <family val="2"/>
      </rPr>
      <t>Training Name</t>
    </r>
    <r>
      <rPr>
        <sz val="11"/>
        <color theme="1"/>
        <rFont val="Arial"/>
        <family val="2"/>
      </rPr>
      <t xml:space="preserve"> matches exactly with the corresponding training request in the Training Details sheet.</t>
    </r>
  </si>
  <si>
    <r>
      <t>High</t>
    </r>
    <r>
      <rPr>
        <sz val="11"/>
        <color theme="1"/>
        <rFont val="Arial"/>
        <family val="2"/>
      </rPr>
      <t>: Critical for business performance, compliance, legal requirements, or strategic objectives.</t>
    </r>
  </si>
  <si>
    <r>
      <t>Medium</t>
    </r>
    <r>
      <rPr>
        <sz val="11"/>
        <color theme="1"/>
        <rFont val="Arial"/>
        <family val="2"/>
      </rPr>
      <t>: Important for capability building and performance improvement.</t>
    </r>
  </si>
  <si>
    <r>
      <t>Low</t>
    </r>
    <r>
      <rPr>
        <sz val="11"/>
        <color theme="1"/>
        <rFont val="Arial"/>
        <family val="2"/>
      </rPr>
      <t>: Developmental training that can be postponed if required.</t>
    </r>
  </si>
  <si>
    <r>
      <t>Mandatory</t>
    </r>
    <r>
      <rPr>
        <sz val="11"/>
        <color theme="1"/>
        <rFont val="Arial"/>
        <family val="2"/>
      </rPr>
      <t>: Required by law, compliance, safety, audit requirements, certification, or business necessity.</t>
    </r>
  </si>
  <si>
    <r>
      <t>Optional</t>
    </r>
    <r>
      <rPr>
        <sz val="11"/>
        <color theme="1"/>
        <rFont val="Arial"/>
        <family val="2"/>
      </rPr>
      <t>: Recommended for professional development and capability enhancement.</t>
    </r>
  </si>
  <si>
    <t>- Training Needs Analysis (TNA) results</t>
  </si>
  <si>
    <t>- Uzbekistan legal or regulatory requirements</t>
  </si>
  <si>
    <t>- Certification or attestation requirements</t>
  </si>
  <si>
    <t>Submit the completed template by the October 15, 2026</t>
  </si>
  <si>
    <t>- Internal or external audit findings</t>
  </si>
  <si>
    <t>- Action points raised by AG, CCI, TCCC, or other governing bodies</t>
  </si>
  <si>
    <t>- Identified capability or skill gaps within the team</t>
  </si>
  <si>
    <t>- New projects, technologies, systems, or business processes</t>
  </si>
  <si>
    <t xml:space="preserve">Include estimated costs </t>
  </si>
  <si>
    <t xml:space="preserve">Ensure that you are alligned with the deparmtent Manager and the Deparment Head </t>
  </si>
  <si>
    <t>Alignment Requirement</t>
  </si>
  <si>
    <r>
      <t xml:space="preserve">Please ensure that all training requests are reviewed and aligned with your </t>
    </r>
    <r>
      <rPr>
        <b/>
        <sz val="11"/>
        <color theme="1"/>
        <rFont val="Arial"/>
        <family val="2"/>
      </rPr>
      <t>Department Manager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Department Head</t>
    </r>
    <r>
      <rPr>
        <sz val="11"/>
        <color theme="1"/>
        <rFont val="Arial"/>
        <family val="2"/>
      </rPr>
      <t xml:space="preserve"> prior to submission. Only agreed training needs should be included in the final submission.</t>
    </r>
  </si>
  <si>
    <t>Инструкция по заполнению шаблона потребностей в обучении на 2027 год</t>
  </si>
  <si>
    <t>Цель</t>
  </si>
  <si>
    <t>Лист «Training Details»</t>
  </si>
  <si>
    <t>Лист «Participants»</t>
  </si>
  <si>
    <t>Бизнес-обоснование (Business Justification)</t>
  </si>
  <si>
    <t>Кратко опишите причину запроса на обучение и ожидаемое влияние на бизнес. Обоснование может быть основано на:</t>
  </si>
  <si>
    <t>результатах анализа потребностей в обучении (Training Needs Analysis, TNA);</t>
  </si>
  <si>
    <t>требованиях законодательства и нормативных актов Республики Узбекистан;</t>
  </si>
  <si>
    <t>требованиях по сертификации или аттестации;</t>
  </si>
  <si>
    <t>результатах внутренних или внешних аудитов;</t>
  </si>
  <si>
    <t>замечаниях и рекомендациях со стороны AG, CCI, TCCC и других регулирующих или контролирующих органов;</t>
  </si>
  <si>
    <t>выявленных пробелах в знаниях и компетенциях сотрудников;</t>
  </si>
  <si>
    <t>внедрении новых проектов, технологий, систем или бизнес-процессов;</t>
  </si>
  <si>
    <t>Определение приоритетов</t>
  </si>
  <si>
    <t>Высокий (High)</t>
  </si>
  <si>
    <t>Критически важно для эффективности бизнеса, соблюдения требований законодательства, нормативных требований, аудитов или достижения стратегических целей.</t>
  </si>
  <si>
    <t>Средний (Medium)</t>
  </si>
  <si>
    <t>Важно для развития компетенций сотрудников и повышения эффективности работы.</t>
  </si>
  <si>
    <t>Низкий (Low)</t>
  </si>
  <si>
    <t>Развивающее обучение, которое при необходимости может быть перенесено.</t>
  </si>
  <si>
    <t>Обязательное / Необязательное обучение (Mandatory / Optional)</t>
  </si>
  <si>
    <t>Обязательное (Mandatory)</t>
  </si>
  <si>
    <t>Требуется в соответствии с законодательством, требованиями комплаенса, охраны труда и техники безопасности, аудитами, сертификацией либо производственной необходимостью.</t>
  </si>
  <si>
    <t>Необязательное (Optional)</t>
  </si>
  <si>
    <t>Рекомендуется для профессионального развития и повышения компетенций сотрудников.</t>
  </si>
  <si>
    <t>Требования к подаче</t>
  </si>
  <si>
    <t>Заполните все соответствующие поля.</t>
  </si>
  <si>
    <t>По возможности укажите ориентировочную стоимость обучения.</t>
  </si>
  <si>
    <t>Убедитесь в корректности и актуальности предоставленной информации.</t>
  </si>
  <si>
    <t>Срок подачи</t>
  </si>
  <si>
    <t>Спасибо за сотрудничество и поддержку в формировании Плана обучения и развития на 2027 год.</t>
  </si>
  <si>
    <r>
      <t xml:space="preserve">Данный шаблон предназначен для консолидации </t>
    </r>
    <r>
      <rPr>
        <b/>
        <sz val="11"/>
        <color theme="1"/>
        <rFont val="Arial"/>
        <family val="2"/>
      </rPr>
      <t>Плана обучения и развития сотрудников (Learning &amp; Development Plan) и бюджета на 2027 год</t>
    </r>
    <r>
      <rPr>
        <sz val="11"/>
        <color theme="1"/>
        <rFont val="Arial"/>
        <family val="2"/>
      </rPr>
      <t>.</t>
    </r>
  </si>
  <si>
    <r>
      <t xml:space="preserve">Пожалуйста, заполняйте </t>
    </r>
    <r>
      <rPr>
        <b/>
        <sz val="11"/>
        <color theme="1"/>
        <rFont val="Arial"/>
        <family val="2"/>
      </rPr>
      <t>одну строку для каждой заявки на обучение</t>
    </r>
    <r>
      <rPr>
        <sz val="11"/>
        <color theme="1"/>
        <rFont val="Arial"/>
        <family val="2"/>
      </rPr>
      <t xml:space="preserve"> и убедитесь, что все применимые поля заполнены корректно. Для каждого обучения необходимо указать ориентировочный бюджет, количество участников, уровень приоритета, бизнес-обоснование и ответственное лицо.</t>
    </r>
  </si>
  <si>
    <r>
      <t xml:space="preserve">Пожалуйста, укажите всех сотрудников, номинированных на обучение, включенное в лист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>.</t>
    </r>
  </si>
  <si>
    <r>
      <t xml:space="preserve">Вносите </t>
    </r>
    <r>
      <rPr>
        <b/>
        <sz val="11"/>
        <color theme="1"/>
        <rFont val="Arial"/>
        <family val="2"/>
      </rPr>
      <t>одного сотрудника в одну строку</t>
    </r>
    <r>
      <rPr>
        <sz val="11"/>
        <color theme="1"/>
        <rFont val="Arial"/>
        <family val="2"/>
      </rPr>
      <t>.</t>
    </r>
  </si>
  <si>
    <r>
      <t>Убедитесь, что название обучения (</t>
    </r>
    <r>
      <rPr>
        <b/>
        <sz val="11"/>
        <color theme="1"/>
        <rFont val="Arial"/>
        <family val="2"/>
      </rPr>
      <t>Training Name</t>
    </r>
    <r>
      <rPr>
        <sz val="11"/>
        <color theme="1"/>
        <rFont val="Arial"/>
        <family val="2"/>
      </rPr>
      <t xml:space="preserve">) полностью соответствует названию, указанному в листе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>.</t>
    </r>
  </si>
  <si>
    <r>
      <t xml:space="preserve">Проверьте, чтобы все сотрудники, указанные в листе </t>
    </r>
    <r>
      <rPr>
        <b/>
        <sz val="11"/>
        <color theme="1"/>
        <rFont val="Arial"/>
        <family val="2"/>
      </rPr>
      <t>Participants</t>
    </r>
    <r>
      <rPr>
        <sz val="11"/>
        <color theme="1"/>
        <rFont val="Arial"/>
        <family val="2"/>
      </rPr>
      <t xml:space="preserve">, были привязаны к обучению, указанному в листе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>.</t>
    </r>
  </si>
  <si>
    <r>
      <t xml:space="preserve">Перед отправкой обязательно согласуйте все заявки на обучение с </t>
    </r>
    <r>
      <rPr>
        <b/>
        <sz val="11"/>
        <color theme="1"/>
        <rFont val="Arial"/>
        <family val="2"/>
      </rPr>
      <t>руководителем подразделения (Department Manager)</t>
    </r>
    <r>
      <rPr>
        <sz val="11"/>
        <color theme="1"/>
        <rFont val="Arial"/>
        <family val="2"/>
      </rPr>
      <t xml:space="preserve"> и </t>
    </r>
    <r>
      <rPr>
        <b/>
        <sz val="11"/>
        <color theme="1"/>
        <rFont val="Arial"/>
        <family val="2"/>
      </rPr>
      <t>руководителем функции/департамента (Department Head)</t>
    </r>
    <r>
      <rPr>
        <sz val="11"/>
        <color theme="1"/>
        <rFont val="Arial"/>
        <family val="2"/>
      </rPr>
      <t>. В итоговую заявку должны быть включены только согласованные потребности в обучении.</t>
    </r>
  </si>
  <si>
    <t>Пожалуйста, направьте заполненный шаблон до 15 октября 2026 года.</t>
  </si>
  <si>
    <t>приоритетах развития функциональных компетенций.</t>
  </si>
  <si>
    <t>- Functional capability development priorities</t>
  </si>
  <si>
    <t>Supply chain</t>
  </si>
  <si>
    <t>QA</t>
  </si>
  <si>
    <t>Tashkent</t>
  </si>
  <si>
    <t>Namangan</t>
  </si>
  <si>
    <t>Samarkand</t>
  </si>
  <si>
    <t>Urgench</t>
  </si>
  <si>
    <t>5 d</t>
  </si>
  <si>
    <t>w 13-18</t>
  </si>
  <si>
    <t>Bureu Veritas</t>
  </si>
  <si>
    <t>FCCS+ISO</t>
  </si>
  <si>
    <t>High</t>
  </si>
  <si>
    <t>Mandatory</t>
  </si>
  <si>
    <t>Certification or attestation requirements</t>
  </si>
  <si>
    <t>Proskuryakov E</t>
  </si>
  <si>
    <t>w 35-39</t>
  </si>
  <si>
    <t>w 19-24</t>
  </si>
  <si>
    <t>w 25-30</t>
  </si>
  <si>
    <t>w 31-36</t>
  </si>
  <si>
    <t>14 d</t>
  </si>
  <si>
    <t xml:space="preserve"> SMS ITI</t>
  </si>
  <si>
    <t>Uzbekistan legal or regulatory requirements</t>
  </si>
  <si>
    <t>Timurmalik Buranov</t>
  </si>
  <si>
    <t>Izzat Djalolitdinov</t>
  </si>
  <si>
    <t>Jasur Mukhitdinov</t>
  </si>
  <si>
    <t>Aziz Yuldashev</t>
  </si>
  <si>
    <t>Bakhodir Yomgirov</t>
  </si>
  <si>
    <t>Iskandar Akhmedjanov</t>
  </si>
  <si>
    <t>Yugay Olga</t>
  </si>
  <si>
    <t>Svetlana Panytukhina</t>
  </si>
  <si>
    <t>Human Resources</t>
  </si>
  <si>
    <t>Administration</t>
  </si>
  <si>
    <t>Production</t>
  </si>
  <si>
    <t>Utility</t>
  </si>
  <si>
    <t>H&amp;S</t>
  </si>
  <si>
    <t>Gulnoza Abdurazakova</t>
  </si>
  <si>
    <t>Orif Burkhanov</t>
  </si>
  <si>
    <t>Marat Vagizov</t>
  </si>
  <si>
    <t>Khudayberdi Mamatov</t>
  </si>
  <si>
    <t>Baxriddin Abdullayev</t>
  </si>
  <si>
    <t>Jasurbek Fayzullayev</t>
  </si>
  <si>
    <t>Khasanjon Shanazarov</t>
  </si>
  <si>
    <t>Procurement</t>
  </si>
  <si>
    <t>WH</t>
  </si>
  <si>
    <t>ISO/FCCS</t>
  </si>
  <si>
    <t>Metrology Training</t>
  </si>
  <si>
    <t>Occupational Safety and Health Training &amp; Knowledge Check</t>
  </si>
  <si>
    <t>w 4-8</t>
  </si>
  <si>
    <t>3 d</t>
  </si>
  <si>
    <t>Accredited OSH Training Center</t>
  </si>
  <si>
    <t>Required under Cabinet of Ministers Resolution No. 819 dated 24.12.2025 governing occupational safety training, workplace instruction, knowledge assessment and employee competency requirements. [CCI_Samark...an_UZ.xlsx | Excel]</t>
  </si>
  <si>
    <t>First Aid at Work</t>
  </si>
  <si>
    <t>2 d</t>
  </si>
  <si>
    <t>Red Crescent Society of Uzbekistan</t>
  </si>
  <si>
    <t>Required under Resolution No. 819. Employees must be trained in first aid response for occupational accidents and emergencies. [CCI_Samark...an_UZ.xlsx | Excel]</t>
  </si>
  <si>
    <t>Industrial Safety Certification for Managers and Engineers</t>
  </si>
  <si>
    <t>w 8-12</t>
  </si>
  <si>
    <t>Sanoatkontexnazorat Authorized Training Center</t>
  </si>
  <si>
    <t>Mandatory certification under Cabinet of Ministers Resolution No. 26 dated 21.01.2025 for managers and engineers responsible for hazardous production facilities. [CCI_Samark...an_UZ.xlsx | Excel]</t>
  </si>
  <si>
    <t>Electrical Safety Group III</t>
  </si>
  <si>
    <t>Uzenergoinspeksiya Recognized Training Center</t>
  </si>
  <si>
    <t>Mandatory qualification under Cabinet of Ministers Resolution No. 712 dated 11.11.2020 for electrical personnel performing independent work on electrical installations. [CCI_Samark...an_UZ.xlsx | Excel]</t>
  </si>
  <si>
    <t>Electrical Safety Group IV</t>
  </si>
  <si>
    <t>w 12-16</t>
  </si>
  <si>
    <t>Mandatory qualification under Resolution No. 712 for supervisors and personnel issuing work permits and controlling electrical work. [CCI_Samark...an_UZ.xlsx | Excel]</t>
  </si>
  <si>
    <t>Electrical Safety Group V</t>
  </si>
  <si>
    <t>Mandatory qualification under Resolution No. 712 for the person responsible for the electrical facilities of the plant. [CCI_Samark...an_UZ.xlsx | Excel]</t>
  </si>
  <si>
    <t>Boiler Operator Qualification and Knowledge Check</t>
  </si>
  <si>
    <t>w 16-20</t>
  </si>
  <si>
    <t>Industrial Safety Authorized Training Center</t>
  </si>
  <si>
    <t>Required by Law ZRU-57 and Resolution No. 26 for operation of steam boilers and hazardous production equipment. [CCI_Samark...an_UZ.xlsx | Excel]</t>
  </si>
  <si>
    <t>Pressure Vessel Operator / Responsible Person Certification</t>
  </si>
  <si>
    <t>Required under Law ZRU-57 and Order No. 258 for personnel responsible for pressure vessels, air receivers and CO₂ systems. [CCI_Samark...an_UZ.xlsx | Excel]</t>
  </si>
  <si>
    <t>Working at Height Qualification</t>
  </si>
  <si>
    <t>w 20-24</t>
  </si>
  <si>
    <t>Bureau Veritas</t>
  </si>
  <si>
    <t>Required under Registration No. 1890 governing occupational safety when performing work at height. [CCI_Samark...an_UZ.xlsx | Excel]</t>
  </si>
  <si>
    <t>Fire Safety Instruction and Fire-Technical Training</t>
  </si>
  <si>
    <t>w 24-28</t>
  </si>
  <si>
    <t>Ministry of Emergency Situations Training Center</t>
  </si>
  <si>
    <t>Required under Fire Safety Law ZRU-226 for fire prevention, emergency response, evacuation and responsible personnel training. [CCI_Samark...an_UZ.xlsx | Excel]</t>
  </si>
  <si>
    <t>Emergency Response and Civil Protection Training</t>
  </si>
  <si>
    <t>w 28-32</t>
  </si>
  <si>
    <t>FVV Emergency Management Training Center</t>
  </si>
  <si>
    <t>Required under Cabinet of Ministers Resolution No. 754 and Civil Protection Law No. 80-II for emergency preparedness and response capability. [CCI_Samark...an_UZ.xlsx | Excel]</t>
  </si>
  <si>
    <t>Gas-Fired Equipment Safety and Gas-Hazardous Work</t>
  </si>
  <si>
    <t>w 32-36</t>
  </si>
  <si>
    <t>Hududgaz Training Center</t>
  </si>
  <si>
    <t>Required under Law ZRU-57 and industrial safety requirements for operation of gas-fired equipment and execution of gas-hazardous work. [CCI_Samark...an_UZ.xlsx | Excel]</t>
  </si>
  <si>
    <t>Food Handler Hygiene and Medical/Sanitary Training</t>
  </si>
  <si>
    <t>w 36-40</t>
  </si>
  <si>
    <t>Samarkand Sanitary-Epidemiological Service</t>
  </si>
  <si>
    <t>Mandatory hygienic training for food handlers under sanitary and epidemiological requirements applicable to food production personnel. [CCI_Samark...an_UZ.xlsx | Excel]</t>
  </si>
  <si>
    <t>Production/Utilities</t>
  </si>
  <si>
    <t>Utilities</t>
  </si>
  <si>
    <t>Law on Industrial Safety No. ZRU-57; Resolution No. 26; applicable industrial safety rules for boilers/pressure equipment</t>
  </si>
  <si>
    <t>Law No. ZRU-57; Rules for Safe Operation of Pressure Vessels, Order No. 258 dated 23.11.2011</t>
  </si>
  <si>
    <t>Law No. ZRU-57; industrial safety technical examination requirements, Order No. 253 dated 28.12.2007</t>
  </si>
  <si>
    <t>Cabinet of Ministers Resolution No. 754 dated 09.09.2019; Law No. 80-II</t>
  </si>
  <si>
    <t>Cabinet of Ministers Resolution No. 819; training regulation: sections on induction, workplace instruction, on-the-job training, knowledge testing and first aid training</t>
  </si>
  <si>
    <t>Training regulation under CM Resolution No. 819: employee training includes first aid to casualties from occupational accidents</t>
  </si>
  <si>
    <t>Cabinet of Ministers Resolution No. 26 dated 21.01.2025. Regulation on training, retraining, advanced training and certification of managers and engineering personnel of organizations using hazardous production facilities</t>
  </si>
  <si>
    <t>Cabinet of Ministers Resolution No. 712 dated 11.11.2020. Annexes 1 and 2: requirements for electrical personnel, knowledge testing and electrical safety qualification groups</t>
  </si>
  <si>
    <t>ZRU-57 Arts. 4 and 9; Resolution No. 26 for managers/engineers of HPOs</t>
  </si>
  <si>
    <t>Bahodir Yuldashev</t>
  </si>
  <si>
    <t>EHS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</si>
</sst>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8">
    <font>
      <sz val="11"/>
      <color theme="1"/>
      <name val="Calibri"/>
      <family val="2"/>
      <charset val="-5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u val="single"/>
      <sz val="11"/>
      <color theme="1"/>
      <name val="Arial"/>
      <family val="2"/>
    </font>
    <font>
      <b/>
      <sz val="11"/>
      <color theme="1"/>
      <name val="Calibri"/>
      <family val="2"/>
      <charset val="-52"/>
    </font>
    <font>
      <u val="single"/>
      <sz val="11"/>
      <color theme="10"/>
      <name val="Calibri"/>
      <family val="2"/>
      <charset val="-5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 quotePrefix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7" fillId="0" borderId="0" xfId="20" applyAlignment="1">
      <alignment vertical="center" wrapText="1"/>
    </xf>
    <xf numFmtId="0" fontId="2" fillId="0" borderId="1" xfId="0" applyFont="1" applyBorder="1" applyAlignment="1">
      <alignment wrapText="1"/>
    </xf>
    <xf numFmtId="43" fontId="0" fillId="0" borderId="1" xfId="18" applyFont="1" applyBorder="1" applyAlignment="1">
      <alignment wrapText="1"/>
    </xf>
    <xf numFmtId="0" fontId="0" fillId="0" borderId="1" xfId="0" applyBorder="1" applyAlignment="1">
      <alignment vertical="center" wrapText="1"/>
    </xf>
    <xf numFmtId="169" fontId="0" fillId="0" borderId="1" xfId="18" applyNumberFormat="1" applyFont="1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1" Type="http://schemas.openxmlformats.org/officeDocument/2006/relationships/customXml" Target="../customXml/item3.xml" /><Relationship Id="rId10" Type="http://schemas.openxmlformats.org/officeDocument/2006/relationships/customXml" Target="../customXml/item2.xml" /><Relationship Id="rId12" Type="http://schemas.openxmlformats.org/officeDocument/2006/relationships/calcChain" Target="calcChain.xml" /><Relationship Id="rId9" Type="http://schemas.openxmlformats.org/officeDocument/2006/relationships/customXml" Target="../customXml/item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<Relationships xmlns="http://schemas.openxmlformats.org/package/2006/relationships"><Relationship Id="rId11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10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13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12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1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2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3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4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9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5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6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7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Relationship Id="rId8" Type="http://schemas.openxmlformats.org/officeDocument/2006/relationships/hyperlink" Target="https://protect.checkpoint.com/v2/r02/___https://ccionline-my.sharepoint.com/ujwxtsfqdynrzwrfqnp_gzwfstA_hhn_htr_zEd_qfDtzyxd6/dIth.fxuC?xtzwhjith=eaG856bGKKF-b7cH-9F/7-FaK9-K59Gc/GJ6Kb7eaI&amp;knqj=HHN_Xfrfwpfsi_757a_RfsifytwD_Ywfnsnsl_Uqfs_Z4.CqxC&amp;fhynts=ijkfzqy&amp;rtgnqjwjinwjhy=ywzj___.YzJlOmNjaWNlY2VrOmM6b2ZmaWNlMzY1X2VtYWlsc19hdHRhY2htZW50OmFlOWY1MjBkNzdjNWFmNWI1YjBjY2QwZGY2NTc1YjIzOjc6MjNmZjo0ODMxOWYzZTk0MWM5ODU1MDRlNjE5OWIyZTM4MDdhNWM4MDY3MmJkMDFmNDQ4ZDNkZDBkNzJkOTc3ZGVkMzA2OnA6RjpU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1E3548-31B2-49B5-A358-53D4C04CB796}">
  <dimension ref="A2:Q41"/>
  <sheetViews>
    <sheetView workbookViewId="0" topLeftCell="A5">
      <selection pane="topLeft" activeCell="A15" sqref="A15"/>
    </sheetView>
  </sheetViews>
  <sheetFormatPr defaultRowHeight="15"/>
  <cols>
    <col min="1" max="1" width="104.571428571429" customWidth="1"/>
  </cols>
  <sheetData>
    <row r="2" spans="1:17" ht="15">
      <c r="A2" s="7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">
      <c r="A3" s="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5">
      <c r="A4" s="14" t="s">
        <v>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5">
      <c r="A5" s="8" t="s">
        <v>31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5">
      <c r="A6" s="14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58.5" customHeight="1">
      <c r="A7" s="9" t="s">
        <v>32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5">
      <c r="A8" s="14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5">
      <c r="A9" s="8" t="s">
        <v>33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5">
      <c r="A10" s="10" t="s">
        <v>34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5">
      <c r="A11" s="10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5">
      <c r="A12" s="1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5">
      <c r="A13" s="8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15">
      <c r="A14" s="11" t="s">
        <v>41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5">
      <c r="A15" s="11" t="s">
        <v>42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15">
      <c r="A16" s="11" t="s">
        <v>43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5">
      <c r="A17" s="11" t="s">
        <v>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1" t="s">
        <v>46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15">
      <c r="A19" s="11" t="s">
        <v>47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15">
      <c r="A20" s="11" t="s">
        <v>48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5">
      <c r="A21" s="11" t="s">
        <v>93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5">
      <c r="A22" s="14" t="s">
        <v>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15">
      <c r="A23" s="12" t="s">
        <v>36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5">
      <c r="A24" s="12" t="s">
        <v>37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2" t="s">
        <v>38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15">
      <c r="A26" s="14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5">
      <c r="A27" s="12" t="s">
        <v>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2" t="s">
        <v>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15">
      <c r="A29" s="14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0" t="s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15">
      <c r="A31" s="10" t="s">
        <v>49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10" t="s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5">
      <c r="A33" s="10" t="s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15">
      <c r="A34" s="10" t="s">
        <v>50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15">
      <c r="A35" s="14" t="s">
        <v>51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44.25">
      <c r="A36" s="15" t="s">
        <v>52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15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15">
      <c r="A38" s="13" t="s">
        <v>44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15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15">
      <c r="A40" s="8" t="s">
        <v>30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1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</sheetData>
  <pageMargins left="0.7" right="0.7" top="0.75" bottom="0.75" header="0.3" footer="0.3"/>
  <headerFooter>
    <oddFooter>&amp;C_x000d_&amp;1#&amp;"Aptos"&amp;10&amp;KA80000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F0747E-13EA-4A4C-9C47-4DC5479A9B01}">
  <dimension ref="A2:A44"/>
  <sheetViews>
    <sheetView workbookViewId="0" topLeftCell="A4">
      <selection pane="topLeft" activeCell="A36" sqref="A36"/>
    </sheetView>
  </sheetViews>
  <sheetFormatPr defaultRowHeight="15"/>
  <cols>
    <col min="1" max="1" width="129.142857142857" style="5" customWidth="1"/>
    <col min="2" max="12" width="8.71428571428571" style="5"/>
  </cols>
  <sheetData>
    <row r="2" spans="1:1" ht="15">
      <c r="A2" s="18" t="s">
        <v>53</v>
      </c>
    </row>
    <row r="3" spans="1:1" ht="15">
      <c r="A3" s="8"/>
    </row>
    <row r="4" spans="1:1" ht="15">
      <c r="A4" s="14" t="s">
        <v>54</v>
      </c>
    </row>
    <row r="5" spans="1:1" ht="30">
      <c r="A5" s="16" t="s">
        <v>84</v>
      </c>
    </row>
    <row r="6" spans="1:1" ht="15">
      <c r="A6" s="14" t="s">
        <v>55</v>
      </c>
    </row>
    <row r="7" spans="1:1" ht="43.5">
      <c r="A7" s="9" t="s">
        <v>85</v>
      </c>
    </row>
    <row r="8" spans="1:1" ht="15">
      <c r="A8" s="14" t="s">
        <v>56</v>
      </c>
    </row>
    <row r="9" spans="1:1" ht="15">
      <c r="A9" s="8" t="s">
        <v>86</v>
      </c>
    </row>
    <row r="10" spans="1:1" ht="15">
      <c r="A10" s="10" t="s">
        <v>87</v>
      </c>
    </row>
    <row r="11" spans="1:1" ht="15">
      <c r="A11" s="10" t="s">
        <v>88</v>
      </c>
    </row>
    <row r="12" spans="1:1" ht="15">
      <c r="A12" s="14" t="s">
        <v>57</v>
      </c>
    </row>
    <row r="13" spans="1:1" ht="15">
      <c r="A13" s="8" t="s">
        <v>58</v>
      </c>
    </row>
    <row r="14" spans="1:1" ht="15">
      <c r="A14" s="10"/>
    </row>
    <row r="15" spans="1:1" ht="15">
      <c r="A15" s="10" t="s">
        <v>59</v>
      </c>
    </row>
    <row r="16" spans="1:1" ht="15">
      <c r="A16" s="10" t="s">
        <v>60</v>
      </c>
    </row>
    <row r="17" spans="1:1" ht="15">
      <c r="A17" s="10" t="s">
        <v>61</v>
      </c>
    </row>
    <row r="18" spans="1:1" ht="15">
      <c r="A18" s="10" t="s">
        <v>62</v>
      </c>
    </row>
    <row r="19" spans="1:1" ht="15">
      <c r="A19" s="10" t="s">
        <v>63</v>
      </c>
    </row>
    <row r="20" spans="1:1" ht="15">
      <c r="A20" s="10" t="s">
        <v>64</v>
      </c>
    </row>
    <row r="21" spans="1:1" ht="15">
      <c r="A21" s="10" t="s">
        <v>65</v>
      </c>
    </row>
    <row r="22" spans="1:1" ht="15">
      <c r="A22" s="10" t="s">
        <v>92</v>
      </c>
    </row>
    <row r="23" spans="1:1" ht="15">
      <c r="A23" s="14" t="s">
        <v>66</v>
      </c>
    </row>
    <row r="24" spans="1:1" ht="15">
      <c r="A24" s="7" t="s">
        <v>67</v>
      </c>
    </row>
    <row r="25" spans="1:1" ht="28.5">
      <c r="A25" s="9" t="s">
        <v>68</v>
      </c>
    </row>
    <row r="26" spans="1:1" ht="15">
      <c r="A26" s="7" t="s">
        <v>69</v>
      </c>
    </row>
    <row r="27" spans="1:1" ht="15">
      <c r="A27" s="8" t="s">
        <v>70</v>
      </c>
    </row>
    <row r="28" spans="1:1" ht="15">
      <c r="A28" s="7" t="s">
        <v>71</v>
      </c>
    </row>
    <row r="29" spans="1:1" ht="15">
      <c r="A29" s="8" t="s">
        <v>72</v>
      </c>
    </row>
    <row r="30" spans="1:1" ht="15">
      <c r="A30" s="14" t="s">
        <v>73</v>
      </c>
    </row>
    <row r="31" spans="1:1" ht="15">
      <c r="A31" s="7" t="s">
        <v>74</v>
      </c>
    </row>
    <row r="32" spans="1:1" ht="28.5">
      <c r="A32" s="9" t="s">
        <v>75</v>
      </c>
    </row>
    <row r="33" spans="1:1" ht="15">
      <c r="A33" s="7" t="s">
        <v>76</v>
      </c>
    </row>
    <row r="34" spans="1:1" ht="15">
      <c r="A34" s="8" t="s">
        <v>77</v>
      </c>
    </row>
    <row r="35" spans="1:1" ht="15">
      <c r="A35" s="14" t="s">
        <v>78</v>
      </c>
    </row>
    <row r="36" spans="1:1" ht="15">
      <c r="A36" s="10" t="s">
        <v>79</v>
      </c>
    </row>
    <row r="37" spans="1:1" ht="15">
      <c r="A37" s="10" t="s">
        <v>80</v>
      </c>
    </row>
    <row r="38" spans="1:1" ht="15">
      <c r="A38" s="10" t="s">
        <v>89</v>
      </c>
    </row>
    <row r="39" spans="1:1" ht="15">
      <c r="A39" s="10" t="s">
        <v>81</v>
      </c>
    </row>
    <row r="40" spans="1:1" ht="44.25">
      <c r="A40" s="15" t="s">
        <v>90</v>
      </c>
    </row>
    <row r="41" spans="1:1" ht="15">
      <c r="A41" s="14" t="s">
        <v>82</v>
      </c>
    </row>
    <row r="42" spans="1:1" ht="15">
      <c r="A42" s="17" t="s">
        <v>91</v>
      </c>
    </row>
    <row r="43" spans="1:1" ht="15">
      <c r="A43" s="8"/>
    </row>
    <row r="44" spans="1:1" ht="15">
      <c r="A44" s="8" t="s">
        <v>83</v>
      </c>
    </row>
  </sheetData>
  <pageMargins left="0.7" right="0.7" top="0.75" bottom="0.75" header="0.3" footer="0.3"/>
  <headerFooter>
    <oddFooter>&amp;C_x000d_&amp;1#&amp;"Aptos"&amp;10&amp;KA80000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BBBD63-A0E5-4807-B667-D8F64AC8415A}">
  <dimension ref="B2:P18"/>
  <sheetViews>
    <sheetView tabSelected="1" zoomScale="75" zoomScaleNormal="75" workbookViewId="0" topLeftCell="A1">
      <selection pane="topLeft" activeCell="D17" sqref="D17"/>
    </sheetView>
  </sheetViews>
  <sheetFormatPr defaultRowHeight="15"/>
  <cols>
    <col min="2" max="2" width="12.8571428571429" bestFit="1" customWidth="1"/>
    <col min="3" max="3" width="18.8571428571429" bestFit="1" customWidth="1"/>
    <col min="4" max="4" width="11.7142857142857" bestFit="1" customWidth="1"/>
    <col min="5" max="5" width="55.7142857142857" bestFit="1" customWidth="1"/>
    <col min="6" max="6" width="19.8571428571429" bestFit="1" customWidth="1"/>
    <col min="7" max="7" width="21.5714285714286" bestFit="1" customWidth="1"/>
    <col min="8" max="8" width="24.4285714285714" bestFit="1" customWidth="1"/>
    <col min="9" max="9" width="14" bestFit="1" customWidth="1"/>
    <col min="10" max="10" width="19.5714285714286" bestFit="1" customWidth="1"/>
    <col min="11" max="11" width="18.1428571428571" bestFit="1" customWidth="1"/>
    <col min="12" max="12" width="26.1428571428571" bestFit="1" customWidth="1"/>
    <col min="13" max="13" width="18.8571428571429" bestFit="1" customWidth="1"/>
    <col min="14" max="14" width="12.4285714285714" bestFit="1" customWidth="1"/>
    <col min="15" max="15" width="40.8571428571429" bestFit="1" customWidth="1"/>
    <col min="16" max="16" width="19.5714285714286" bestFit="1" customWidth="1"/>
  </cols>
  <sheetData>
    <row r="2" spans="2:16" ht="15">
      <c r="B2" s="4" t="s">
        <v>18</v>
      </c>
      <c r="C2" s="4" t="s">
        <v>0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</row>
    <row r="3" spans="2:16" ht="15">
      <c r="B3" s="2" t="s">
        <v>94</v>
      </c>
      <c r="C3" s="2" t="s">
        <v>95</v>
      </c>
      <c r="D3" s="2" t="s">
        <v>96</v>
      </c>
      <c r="E3" s="2" t="s">
        <v>103</v>
      </c>
      <c r="F3" s="2" t="s">
        <v>101</v>
      </c>
      <c r="G3" s="2" t="s">
        <v>100</v>
      </c>
      <c r="H3" s="2" t="s">
        <v>102</v>
      </c>
      <c r="I3" s="2">
        <v>40000000</v>
      </c>
      <c r="J3" s="2">
        <v>2000000</v>
      </c>
      <c r="K3" s="2">
        <v>20</v>
      </c>
      <c r="L3" s="2" t="s">
        <v>104</v>
      </c>
      <c r="M3" s="2" t="s">
        <v>105</v>
      </c>
      <c r="N3" s="2">
        <v>2027</v>
      </c>
      <c r="O3" s="2" t="s">
        <v>106</v>
      </c>
      <c r="P3" s="2" t="s">
        <v>107</v>
      </c>
    </row>
    <row r="4" spans="2:16" ht="15">
      <c r="B4" s="2" t="s">
        <v>94</v>
      </c>
      <c r="C4" s="2" t="s">
        <v>95</v>
      </c>
      <c r="D4" s="2" t="s">
        <v>97</v>
      </c>
      <c r="E4" s="2" t="s">
        <v>103</v>
      </c>
      <c r="F4" s="2" t="s">
        <v>109</v>
      </c>
      <c r="G4" s="2" t="s">
        <v>100</v>
      </c>
      <c r="H4" s="2" t="s">
        <v>102</v>
      </c>
      <c r="I4" s="2">
        <v>30000000</v>
      </c>
      <c r="J4" s="2">
        <v>2000000</v>
      </c>
      <c r="K4" s="2">
        <v>15</v>
      </c>
      <c r="L4" s="2" t="s">
        <v>104</v>
      </c>
      <c r="M4" s="2" t="s">
        <v>105</v>
      </c>
      <c r="N4" s="2">
        <v>2027</v>
      </c>
      <c r="O4" s="2" t="s">
        <v>106</v>
      </c>
      <c r="P4" s="2" t="s">
        <v>107</v>
      </c>
    </row>
    <row r="5" spans="2:16" ht="15">
      <c r="B5" s="2" t="s">
        <v>94</v>
      </c>
      <c r="C5" s="2" t="s">
        <v>95</v>
      </c>
      <c r="D5" s="2" t="s">
        <v>98</v>
      </c>
      <c r="E5" s="2" t="s">
        <v>103</v>
      </c>
      <c r="F5" s="2" t="s">
        <v>110</v>
      </c>
      <c r="G5" s="2" t="s">
        <v>100</v>
      </c>
      <c r="H5" s="2" t="s">
        <v>102</v>
      </c>
      <c r="I5" s="3">
        <v>30000000</v>
      </c>
      <c r="J5" s="2">
        <v>2000000</v>
      </c>
      <c r="K5" s="2">
        <v>15</v>
      </c>
      <c r="L5" s="2" t="s">
        <v>104</v>
      </c>
      <c r="M5" s="2" t="s">
        <v>105</v>
      </c>
      <c r="N5" s="2">
        <v>2027</v>
      </c>
      <c r="O5" s="2" t="s">
        <v>106</v>
      </c>
      <c r="P5" s="2" t="s">
        <v>107</v>
      </c>
    </row>
    <row r="6" spans="2:16" ht="15">
      <c r="B6" s="2" t="s">
        <v>94</v>
      </c>
      <c r="C6" s="2" t="s">
        <v>95</v>
      </c>
      <c r="D6" s="2" t="s">
        <v>99</v>
      </c>
      <c r="E6" s="2" t="s">
        <v>103</v>
      </c>
      <c r="F6" s="2" t="s">
        <v>111</v>
      </c>
      <c r="G6" s="2" t="s">
        <v>100</v>
      </c>
      <c r="H6" s="2" t="s">
        <v>102</v>
      </c>
      <c r="I6" s="3">
        <v>30000000</v>
      </c>
      <c r="J6" s="2">
        <v>2000000</v>
      </c>
      <c r="K6" s="2">
        <v>15</v>
      </c>
      <c r="L6" s="2" t="s">
        <v>104</v>
      </c>
      <c r="M6" s="2" t="s">
        <v>105</v>
      </c>
      <c r="N6" s="2">
        <v>2027</v>
      </c>
      <c r="O6" s="2" t="s">
        <v>106</v>
      </c>
      <c r="P6" s="2" t="s">
        <v>107</v>
      </c>
    </row>
    <row r="7" spans="2:16" ht="30">
      <c r="B7" s="2" t="s">
        <v>94</v>
      </c>
      <c r="C7" s="2" t="s">
        <v>95</v>
      </c>
      <c r="D7" s="2" t="s">
        <v>98</v>
      </c>
      <c r="E7" s="19" t="s">
        <v>138</v>
      </c>
      <c r="F7" s="1" t="s">
        <v>108</v>
      </c>
      <c r="G7" s="1" t="s">
        <v>112</v>
      </c>
      <c r="H7" s="1" t="s">
        <v>113</v>
      </c>
      <c r="I7" s="28">
        <v>10000000</v>
      </c>
      <c r="J7" s="1">
        <v>10000000</v>
      </c>
      <c r="K7" s="1">
        <v>1</v>
      </c>
      <c r="L7" s="2" t="s">
        <v>104</v>
      </c>
      <c r="M7" s="2" t="s">
        <v>105</v>
      </c>
      <c r="N7" s="1">
        <v>2027</v>
      </c>
      <c r="O7" s="1" t="s">
        <v>114</v>
      </c>
      <c r="P7" s="1"/>
    </row>
    <row r="8" spans="2:16" ht="60">
      <c r="B8" s="25" t="s">
        <v>94</v>
      </c>
      <c r="C8" s="19" t="s">
        <v>186</v>
      </c>
      <c r="D8" s="25" t="s">
        <v>98</v>
      </c>
      <c r="E8" s="27" t="s">
        <v>139</v>
      </c>
      <c r="F8" s="19" t="s">
        <v>140</v>
      </c>
      <c r="G8" s="19" t="s">
        <v>141</v>
      </c>
      <c r="H8" s="19" t="s">
        <v>142</v>
      </c>
      <c r="I8" s="28">
        <f>+J8*K8</f>
        <v>0</v>
      </c>
      <c r="J8" s="26">
        <v>1200000</v>
      </c>
      <c r="K8" s="19"/>
      <c r="L8" s="2" t="s">
        <v>104</v>
      </c>
      <c r="M8" s="2" t="s">
        <v>105</v>
      </c>
      <c r="N8" s="19">
        <v>2027</v>
      </c>
      <c r="O8" s="19" t="s">
        <v>192</v>
      </c>
      <c r="P8" s="19" t="s">
        <v>197</v>
      </c>
    </row>
    <row r="9" spans="2:16" ht="60">
      <c r="B9" s="25" t="s">
        <v>94</v>
      </c>
      <c r="C9" s="19" t="s">
        <v>186</v>
      </c>
      <c r="D9" s="25" t="s">
        <v>98</v>
      </c>
      <c r="E9" s="27" t="s">
        <v>144</v>
      </c>
      <c r="F9" s="19" t="s">
        <v>140</v>
      </c>
      <c r="G9" s="19" t="s">
        <v>145</v>
      </c>
      <c r="H9" s="19" t="s">
        <v>146</v>
      </c>
      <c r="I9" s="28">
        <f t="shared" si="0" ref="I9:I18">+J9*K9</f>
        <v>3000000</v>
      </c>
      <c r="J9" s="26">
        <v>750000</v>
      </c>
      <c r="K9" s="19">
        <v>4</v>
      </c>
      <c r="L9" s="2" t="s">
        <v>104</v>
      </c>
      <c r="M9" s="2" t="s">
        <v>105</v>
      </c>
      <c r="N9" s="19">
        <v>2027</v>
      </c>
      <c r="O9" s="19" t="s">
        <v>193</v>
      </c>
      <c r="P9" s="19" t="s">
        <v>197</v>
      </c>
    </row>
    <row r="10" spans="2:16" ht="90">
      <c r="B10" s="25" t="s">
        <v>94</v>
      </c>
      <c r="C10" s="19" t="s">
        <v>186</v>
      </c>
      <c r="D10" s="25" t="s">
        <v>98</v>
      </c>
      <c r="E10" s="27" t="s">
        <v>148</v>
      </c>
      <c r="F10" s="19" t="s">
        <v>149</v>
      </c>
      <c r="G10" s="19" t="s">
        <v>100</v>
      </c>
      <c r="H10" s="19" t="s">
        <v>150</v>
      </c>
      <c r="I10" s="28">
        <f t="shared" si="0"/>
        <v>6000000</v>
      </c>
      <c r="J10" s="26">
        <v>3000000</v>
      </c>
      <c r="K10" s="19">
        <v>2</v>
      </c>
      <c r="L10" s="2" t="s">
        <v>104</v>
      </c>
      <c r="M10" s="2" t="s">
        <v>105</v>
      </c>
      <c r="N10" s="19">
        <v>2027</v>
      </c>
      <c r="O10" s="19" t="s">
        <v>194</v>
      </c>
      <c r="P10" s="19" t="s">
        <v>197</v>
      </c>
    </row>
    <row r="11" spans="2:16" ht="75">
      <c r="B11" s="25" t="s">
        <v>94</v>
      </c>
      <c r="C11" s="19" t="s">
        <v>187</v>
      </c>
      <c r="D11" s="25" t="s">
        <v>98</v>
      </c>
      <c r="E11" s="27" t="s">
        <v>152</v>
      </c>
      <c r="F11" s="19" t="s">
        <v>149</v>
      </c>
      <c r="G11" s="19" t="s">
        <v>141</v>
      </c>
      <c r="H11" s="19" t="s">
        <v>153</v>
      </c>
      <c r="I11" s="28">
        <f t="shared" si="0"/>
        <v>2000000</v>
      </c>
      <c r="J11" s="26">
        <v>1000000</v>
      </c>
      <c r="K11" s="19">
        <v>2</v>
      </c>
      <c r="L11" s="2" t="s">
        <v>104</v>
      </c>
      <c r="M11" s="2" t="s">
        <v>105</v>
      </c>
      <c r="N11" s="19">
        <v>2027</v>
      </c>
      <c r="O11" s="19" t="s">
        <v>195</v>
      </c>
      <c r="P11" s="19" t="s">
        <v>118</v>
      </c>
    </row>
    <row r="12" spans="2:16" ht="75">
      <c r="B12" s="25" t="s">
        <v>94</v>
      </c>
      <c r="C12" s="19" t="s">
        <v>187</v>
      </c>
      <c r="D12" s="25" t="s">
        <v>98</v>
      </c>
      <c r="E12" s="27" t="s">
        <v>155</v>
      </c>
      <c r="F12" s="19" t="s">
        <v>156</v>
      </c>
      <c r="G12" s="19" t="s">
        <v>141</v>
      </c>
      <c r="H12" s="19" t="s">
        <v>153</v>
      </c>
      <c r="I12" s="28">
        <f t="shared" si="0"/>
        <v>3000000</v>
      </c>
      <c r="J12" s="26">
        <v>1500000</v>
      </c>
      <c r="K12" s="19">
        <v>2</v>
      </c>
      <c r="L12" s="2" t="s">
        <v>104</v>
      </c>
      <c r="M12" s="2" t="s">
        <v>105</v>
      </c>
      <c r="N12" s="19">
        <v>2027</v>
      </c>
      <c r="O12" s="19" t="s">
        <v>195</v>
      </c>
      <c r="P12" s="19" t="s">
        <v>118</v>
      </c>
    </row>
    <row r="13" spans="2:16" ht="75">
      <c r="B13" s="25" t="s">
        <v>94</v>
      </c>
      <c r="C13" s="19" t="s">
        <v>187</v>
      </c>
      <c r="D13" s="25" t="s">
        <v>98</v>
      </c>
      <c r="E13" s="27" t="s">
        <v>158</v>
      </c>
      <c r="F13" s="19" t="s">
        <v>156</v>
      </c>
      <c r="G13" s="19" t="s">
        <v>141</v>
      </c>
      <c r="H13" s="19" t="s">
        <v>153</v>
      </c>
      <c r="I13" s="28">
        <f t="shared" si="0"/>
        <v>3000000</v>
      </c>
      <c r="J13" s="26">
        <v>3000000</v>
      </c>
      <c r="K13" s="19">
        <v>1</v>
      </c>
      <c r="L13" s="2" t="s">
        <v>104</v>
      </c>
      <c r="M13" s="2" t="s">
        <v>105</v>
      </c>
      <c r="N13" s="19">
        <v>2027</v>
      </c>
      <c r="O13" s="19" t="s">
        <v>195</v>
      </c>
      <c r="P13" s="19" t="s">
        <v>118</v>
      </c>
    </row>
    <row r="14" spans="2:16" ht="45">
      <c r="B14" s="25" t="s">
        <v>94</v>
      </c>
      <c r="C14" s="19" t="s">
        <v>187</v>
      </c>
      <c r="D14" s="25" t="s">
        <v>98</v>
      </c>
      <c r="E14" s="27" t="s">
        <v>160</v>
      </c>
      <c r="F14" s="19" t="s">
        <v>161</v>
      </c>
      <c r="G14" s="19" t="s">
        <v>100</v>
      </c>
      <c r="H14" s="19" t="s">
        <v>162</v>
      </c>
      <c r="I14" s="28">
        <f t="shared" si="0"/>
        <v>4000000</v>
      </c>
      <c r="J14" s="26">
        <v>2000000</v>
      </c>
      <c r="K14" s="19">
        <v>2</v>
      </c>
      <c r="L14" s="2" t="s">
        <v>104</v>
      </c>
      <c r="M14" s="2" t="s">
        <v>105</v>
      </c>
      <c r="N14" s="19">
        <v>2027</v>
      </c>
      <c r="O14" s="19" t="s">
        <v>188</v>
      </c>
      <c r="P14" s="19" t="s">
        <v>116</v>
      </c>
    </row>
    <row r="15" spans="2:16" ht="45">
      <c r="B15" s="25" t="s">
        <v>94</v>
      </c>
      <c r="C15" s="19" t="s">
        <v>187</v>
      </c>
      <c r="D15" s="25" t="s">
        <v>98</v>
      </c>
      <c r="E15" s="27" t="s">
        <v>164</v>
      </c>
      <c r="F15" s="19" t="s">
        <v>161</v>
      </c>
      <c r="G15" s="19" t="s">
        <v>141</v>
      </c>
      <c r="H15" s="19" t="s">
        <v>162</v>
      </c>
      <c r="I15" s="28">
        <f t="shared" si="0"/>
        <v>4000000</v>
      </c>
      <c r="J15" s="26">
        <v>2000000</v>
      </c>
      <c r="K15" s="19">
        <v>2</v>
      </c>
      <c r="L15" s="2" t="s">
        <v>104</v>
      </c>
      <c r="M15" s="2" t="s">
        <v>105</v>
      </c>
      <c r="N15" s="19">
        <v>2027</v>
      </c>
      <c r="O15" s="19" t="s">
        <v>189</v>
      </c>
      <c r="P15" s="19" t="s">
        <v>116</v>
      </c>
    </row>
    <row r="16" spans="2:16" ht="45">
      <c r="B16" s="25" t="s">
        <v>94</v>
      </c>
      <c r="C16" s="19" t="s">
        <v>198</v>
      </c>
      <c r="D16" s="25" t="s">
        <v>98</v>
      </c>
      <c r="E16" s="27" t="s">
        <v>170</v>
      </c>
      <c r="F16" s="19" t="s">
        <v>171</v>
      </c>
      <c r="G16" s="19" t="s">
        <v>145</v>
      </c>
      <c r="H16" s="19" t="s">
        <v>172</v>
      </c>
      <c r="I16" s="28">
        <f t="shared" si="0"/>
        <v>2000000</v>
      </c>
      <c r="J16" s="26">
        <v>1000000</v>
      </c>
      <c r="K16" s="19">
        <v>2</v>
      </c>
      <c r="L16" s="2" t="s">
        <v>104</v>
      </c>
      <c r="M16" s="2" t="s">
        <v>105</v>
      </c>
      <c r="N16" s="19">
        <v>2027</v>
      </c>
      <c r="O16" s="19" t="s">
        <v>190</v>
      </c>
      <c r="P16" s="19" t="s">
        <v>197</v>
      </c>
    </row>
    <row r="17" spans="2:16" ht="45">
      <c r="B17" s="25" t="s">
        <v>94</v>
      </c>
      <c r="C17" s="19" t="s">
        <v>198</v>
      </c>
      <c r="D17" s="25" t="s">
        <v>98</v>
      </c>
      <c r="E17" s="27" t="s">
        <v>174</v>
      </c>
      <c r="F17" s="19" t="s">
        <v>175</v>
      </c>
      <c r="G17" s="19" t="s">
        <v>145</v>
      </c>
      <c r="H17" s="19" t="s">
        <v>176</v>
      </c>
      <c r="I17" s="28">
        <f t="shared" si="0"/>
        <v>2000000</v>
      </c>
      <c r="J17" s="26">
        <v>1000000</v>
      </c>
      <c r="K17" s="19">
        <v>2</v>
      </c>
      <c r="L17" s="2" t="s">
        <v>104</v>
      </c>
      <c r="M17" s="2" t="s">
        <v>105</v>
      </c>
      <c r="N17" s="19">
        <v>2027</v>
      </c>
      <c r="O17" s="19" t="s">
        <v>191</v>
      </c>
      <c r="P17" s="19" t="s">
        <v>197</v>
      </c>
    </row>
    <row r="18" spans="2:16" ht="30">
      <c r="B18" s="25" t="s">
        <v>94</v>
      </c>
      <c r="C18" s="19" t="s">
        <v>187</v>
      </c>
      <c r="D18" s="25" t="s">
        <v>98</v>
      </c>
      <c r="E18" s="27" t="s">
        <v>178</v>
      </c>
      <c r="F18" s="19" t="s">
        <v>179</v>
      </c>
      <c r="G18" s="19" t="s">
        <v>141</v>
      </c>
      <c r="H18" s="19" t="s">
        <v>180</v>
      </c>
      <c r="I18" s="28">
        <f t="shared" si="0"/>
        <v>4000000</v>
      </c>
      <c r="J18" s="26">
        <v>2000000</v>
      </c>
      <c r="K18" s="19">
        <v>2</v>
      </c>
      <c r="L18" s="2" t="s">
        <v>104</v>
      </c>
      <c r="M18" s="2" t="s">
        <v>105</v>
      </c>
      <c r="N18" s="19">
        <v>2027</v>
      </c>
      <c r="O18" s="19" t="s">
        <v>196</v>
      </c>
      <c r="P18" s="19" t="s">
        <v>116</v>
      </c>
    </row>
  </sheetData>
  <pageMargins left="0.7" right="0.7" top="0.75" bottom="0.75" header="0.3" footer="0.3"/>
  <headerFooter>
    <oddFooter>&amp;C_x000d_&amp;1#&amp;"Aptos"&amp;10&amp;KA80000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EC1DB8-B2A2-4E56-B92E-D4B228737178}">
  <dimension ref="A1:L14"/>
  <sheetViews>
    <sheetView workbookViewId="0" topLeftCell="B4">
      <selection pane="topLeft" activeCell="J13" sqref="J13"/>
    </sheetView>
  </sheetViews>
  <sheetFormatPr defaultRowHeight="15"/>
  <cols>
    <col min="1" max="1" width="83.1428571428571" customWidth="1"/>
    <col min="4" max="4" width="36.1428571428571" customWidth="1"/>
    <col min="11" max="11" width="102" customWidth="1"/>
  </cols>
  <sheetData>
    <row r="1" spans="1:12" ht="60">
      <c r="A1" s="20" t="s">
        <v>6</v>
      </c>
      <c r="B1" s="20" t="s">
        <v>7</v>
      </c>
      <c r="C1" s="20" t="s">
        <v>8</v>
      </c>
      <c r="D1" s="20" t="s">
        <v>9</v>
      </c>
      <c r="E1" s="22" t="s">
        <v>10</v>
      </c>
      <c r="F1" s="22" t="s">
        <v>11</v>
      </c>
      <c r="G1" s="22" t="s">
        <v>12</v>
      </c>
      <c r="H1" s="20" t="s">
        <v>13</v>
      </c>
      <c r="I1" s="20" t="s">
        <v>14</v>
      </c>
      <c r="J1" s="22" t="s">
        <v>15</v>
      </c>
      <c r="K1" s="20" t="s">
        <v>16</v>
      </c>
      <c r="L1" s="20" t="s">
        <v>17</v>
      </c>
    </row>
    <row r="2" spans="1:12" ht="60">
      <c r="A2" s="23" t="s">
        <v>139</v>
      </c>
      <c r="B2" s="23" t="s">
        <v>140</v>
      </c>
      <c r="C2" s="23" t="s">
        <v>141</v>
      </c>
      <c r="D2" s="23" t="s">
        <v>142</v>
      </c>
      <c r="E2" s="21">
        <v>24000000</v>
      </c>
      <c r="F2" s="21">
        <v>1200000</v>
      </c>
      <c r="G2" s="21">
        <v>20</v>
      </c>
      <c r="H2" s="23" t="s">
        <v>104</v>
      </c>
      <c r="I2" s="23" t="s">
        <v>105</v>
      </c>
      <c r="J2" s="21">
        <v>2027</v>
      </c>
      <c r="K2" s="24" t="s">
        <v>143</v>
      </c>
      <c r="L2" s="23" t="s">
        <v>119</v>
      </c>
    </row>
    <row r="3" spans="1:12" ht="60">
      <c r="A3" s="23" t="s">
        <v>144</v>
      </c>
      <c r="B3" s="23" t="s">
        <v>140</v>
      </c>
      <c r="C3" s="23" t="s">
        <v>145</v>
      </c>
      <c r="D3" s="23" t="s">
        <v>146</v>
      </c>
      <c r="E3" s="21">
        <v>15000000</v>
      </c>
      <c r="F3" s="21">
        <v>750000</v>
      </c>
      <c r="G3" s="21">
        <v>20</v>
      </c>
      <c r="H3" s="23" t="s">
        <v>104</v>
      </c>
      <c r="I3" s="23" t="s">
        <v>105</v>
      </c>
      <c r="J3" s="21">
        <v>2027</v>
      </c>
      <c r="K3" s="24" t="s">
        <v>147</v>
      </c>
      <c r="L3" s="23" t="s">
        <v>119</v>
      </c>
    </row>
    <row r="4" spans="1:12" ht="45">
      <c r="A4" s="23" t="s">
        <v>148</v>
      </c>
      <c r="B4" s="23" t="s">
        <v>149</v>
      </c>
      <c r="C4" s="23" t="s">
        <v>100</v>
      </c>
      <c r="D4" s="23" t="s">
        <v>150</v>
      </c>
      <c r="E4" s="21">
        <v>24000000</v>
      </c>
      <c r="F4" s="21">
        <v>3000000</v>
      </c>
      <c r="G4" s="21">
        <v>8</v>
      </c>
      <c r="H4" s="23" t="s">
        <v>104</v>
      </c>
      <c r="I4" s="23" t="s">
        <v>105</v>
      </c>
      <c r="J4" s="21">
        <v>2027</v>
      </c>
      <c r="K4" s="24" t="s">
        <v>151</v>
      </c>
      <c r="L4" s="23" t="s">
        <v>116</v>
      </c>
    </row>
    <row r="5" spans="1:12" ht="45">
      <c r="A5" s="23" t="s">
        <v>152</v>
      </c>
      <c r="B5" s="23" t="s">
        <v>149</v>
      </c>
      <c r="C5" s="23" t="s">
        <v>141</v>
      </c>
      <c r="D5" s="23" t="s">
        <v>153</v>
      </c>
      <c r="E5" s="21">
        <v>12000000</v>
      </c>
      <c r="F5" s="21">
        <v>1000000</v>
      </c>
      <c r="G5" s="21">
        <v>12</v>
      </c>
      <c r="H5" s="23" t="s">
        <v>104</v>
      </c>
      <c r="I5" s="23" t="s">
        <v>105</v>
      </c>
      <c r="J5" s="21">
        <v>2027</v>
      </c>
      <c r="K5" s="24" t="s">
        <v>154</v>
      </c>
      <c r="L5" s="23" t="s">
        <v>116</v>
      </c>
    </row>
    <row r="6" spans="1:12" ht="45">
      <c r="A6" s="23" t="s">
        <v>155</v>
      </c>
      <c r="B6" s="23" t="s">
        <v>156</v>
      </c>
      <c r="C6" s="23" t="s">
        <v>141</v>
      </c>
      <c r="D6" s="23" t="s">
        <v>153</v>
      </c>
      <c r="E6" s="21">
        <v>6000000</v>
      </c>
      <c r="F6" s="21">
        <v>1500000</v>
      </c>
      <c r="G6" s="21">
        <v>4</v>
      </c>
      <c r="H6" s="23" t="s">
        <v>104</v>
      </c>
      <c r="I6" s="23" t="s">
        <v>105</v>
      </c>
      <c r="J6" s="21">
        <v>2027</v>
      </c>
      <c r="K6" s="24" t="s">
        <v>157</v>
      </c>
      <c r="L6" s="23" t="s">
        <v>116</v>
      </c>
    </row>
    <row r="7" spans="1:12" ht="45">
      <c r="A7" s="23" t="s">
        <v>158</v>
      </c>
      <c r="B7" s="23" t="s">
        <v>156</v>
      </c>
      <c r="C7" s="23" t="s">
        <v>141</v>
      </c>
      <c r="D7" s="23" t="s">
        <v>153</v>
      </c>
      <c r="E7" s="21">
        <v>3000000</v>
      </c>
      <c r="F7" s="21">
        <v>3000000</v>
      </c>
      <c r="G7" s="21">
        <v>1</v>
      </c>
      <c r="H7" s="23" t="s">
        <v>104</v>
      </c>
      <c r="I7" s="23" t="s">
        <v>105</v>
      </c>
      <c r="J7" s="21">
        <v>2027</v>
      </c>
      <c r="K7" s="24" t="s">
        <v>159</v>
      </c>
      <c r="L7" s="23" t="s">
        <v>116</v>
      </c>
    </row>
    <row r="8" spans="1:12" ht="45">
      <c r="A8" s="23" t="s">
        <v>160</v>
      </c>
      <c r="B8" s="23" t="s">
        <v>161</v>
      </c>
      <c r="C8" s="23" t="s">
        <v>100</v>
      </c>
      <c r="D8" s="23" t="s">
        <v>162</v>
      </c>
      <c r="E8" s="21">
        <v>12000000</v>
      </c>
      <c r="F8" s="21">
        <v>2000000</v>
      </c>
      <c r="G8" s="21">
        <v>6</v>
      </c>
      <c r="H8" s="23" t="s">
        <v>104</v>
      </c>
      <c r="I8" s="23" t="s">
        <v>105</v>
      </c>
      <c r="J8" s="21">
        <v>2027</v>
      </c>
      <c r="K8" s="24" t="s">
        <v>163</v>
      </c>
      <c r="L8" s="23" t="s">
        <v>118</v>
      </c>
    </row>
    <row r="9" spans="1:12" ht="45">
      <c r="A9" s="23" t="s">
        <v>164</v>
      </c>
      <c r="B9" s="23" t="s">
        <v>161</v>
      </c>
      <c r="C9" s="23" t="s">
        <v>141</v>
      </c>
      <c r="D9" s="23" t="s">
        <v>162</v>
      </c>
      <c r="E9" s="21">
        <v>12000000</v>
      </c>
      <c r="F9" s="21">
        <v>2000000</v>
      </c>
      <c r="G9" s="21">
        <v>6</v>
      </c>
      <c r="H9" s="23" t="s">
        <v>104</v>
      </c>
      <c r="I9" s="23" t="s">
        <v>105</v>
      </c>
      <c r="J9" s="21">
        <v>2027</v>
      </c>
      <c r="K9" s="24" t="s">
        <v>165</v>
      </c>
      <c r="L9" s="23" t="s">
        <v>118</v>
      </c>
    </row>
    <row r="10" spans="1:12" ht="45">
      <c r="A10" s="23" t="s">
        <v>166</v>
      </c>
      <c r="B10" s="23" t="s">
        <v>167</v>
      </c>
      <c r="C10" s="23" t="s">
        <v>145</v>
      </c>
      <c r="D10" s="23" t="s">
        <v>168</v>
      </c>
      <c r="E10" s="21">
        <v>12000000</v>
      </c>
      <c r="F10" s="21">
        <v>1000000</v>
      </c>
      <c r="G10" s="21">
        <v>12</v>
      </c>
      <c r="H10" s="23" t="s">
        <v>104</v>
      </c>
      <c r="I10" s="23" t="s">
        <v>105</v>
      </c>
      <c r="J10" s="21">
        <v>2027</v>
      </c>
      <c r="K10" s="24" t="s">
        <v>169</v>
      </c>
      <c r="L10" s="23" t="s">
        <v>116</v>
      </c>
    </row>
    <row r="11" spans="1:12" ht="60">
      <c r="A11" s="23" t="s">
        <v>170</v>
      </c>
      <c r="B11" s="23" t="s">
        <v>171</v>
      </c>
      <c r="C11" s="23" t="s">
        <v>145</v>
      </c>
      <c r="D11" s="23" t="s">
        <v>172</v>
      </c>
      <c r="E11" s="21">
        <v>20000000</v>
      </c>
      <c r="F11" s="21">
        <v>1000000</v>
      </c>
      <c r="G11" s="21">
        <v>20</v>
      </c>
      <c r="H11" s="23" t="s">
        <v>104</v>
      </c>
      <c r="I11" s="23" t="s">
        <v>105</v>
      </c>
      <c r="J11" s="21">
        <v>2027</v>
      </c>
      <c r="K11" s="24" t="s">
        <v>173</v>
      </c>
      <c r="L11" s="23" t="s">
        <v>119</v>
      </c>
    </row>
    <row r="12" spans="1:12" ht="60">
      <c r="A12" s="23" t="s">
        <v>174</v>
      </c>
      <c r="B12" s="23" t="s">
        <v>175</v>
      </c>
      <c r="C12" s="23" t="s">
        <v>145</v>
      </c>
      <c r="D12" s="23" t="s">
        <v>176</v>
      </c>
      <c r="E12" s="21">
        <v>10000000</v>
      </c>
      <c r="F12" s="21">
        <v>1000000</v>
      </c>
      <c r="G12" s="21">
        <v>10</v>
      </c>
      <c r="H12" s="23" t="s">
        <v>104</v>
      </c>
      <c r="I12" s="23" t="s">
        <v>105</v>
      </c>
      <c r="J12" s="21">
        <v>2027</v>
      </c>
      <c r="K12" s="24" t="s">
        <v>177</v>
      </c>
      <c r="L12" s="23" t="s">
        <v>119</v>
      </c>
    </row>
    <row r="13" spans="1:12" ht="45">
      <c r="A13" s="23" t="s">
        <v>178</v>
      </c>
      <c r="B13" s="23" t="s">
        <v>179</v>
      </c>
      <c r="C13" s="23" t="s">
        <v>141</v>
      </c>
      <c r="D13" s="23" t="s">
        <v>180</v>
      </c>
      <c r="E13" s="21">
        <v>12000000</v>
      </c>
      <c r="F13" s="21">
        <v>2000000</v>
      </c>
      <c r="G13" s="21">
        <v>6</v>
      </c>
      <c r="H13" s="23" t="s">
        <v>104</v>
      </c>
      <c r="I13" s="23" t="s">
        <v>105</v>
      </c>
      <c r="J13" s="21">
        <v>2027</v>
      </c>
      <c r="K13" s="24" t="s">
        <v>181</v>
      </c>
      <c r="L13" s="23" t="s">
        <v>118</v>
      </c>
    </row>
    <row r="14" spans="1:12" ht="45">
      <c r="A14" s="23" t="s">
        <v>182</v>
      </c>
      <c r="B14" s="23" t="s">
        <v>183</v>
      </c>
      <c r="C14" s="23" t="s">
        <v>145</v>
      </c>
      <c r="D14" s="23" t="s">
        <v>184</v>
      </c>
      <c r="E14" s="21">
        <v>15000000</v>
      </c>
      <c r="F14" s="21">
        <v>750000</v>
      </c>
      <c r="G14" s="21">
        <v>20</v>
      </c>
      <c r="H14" s="23" t="s">
        <v>104</v>
      </c>
      <c r="I14" s="23" t="s">
        <v>105</v>
      </c>
      <c r="J14" s="21">
        <v>2027</v>
      </c>
      <c r="K14" s="24" t="s">
        <v>185</v>
      </c>
      <c r="L14" s="23" t="s">
        <v>117</v>
      </c>
    </row>
  </sheetData>
  <hyperlinks>
    <hyperlink ref="K2" r:id="rId1" display="Required under Cabinet of Ministers Resolution No. 819 dated 24.12.2025 governing occupational safety training, workplace instruction, knowledge assessment and employee competency requirements. [CCI_Samark...an_UZ.xlsx | Excel]"/>
    <hyperlink ref="K3" r:id="rId2" display="Required under Resolution No. 819. Employees must be trained in first aid response for occupational accidents and emergencies. [CCI_Samark...an_UZ.xlsx | Excel]"/>
    <hyperlink ref="K4" r:id="rId3" display="Mandatory certification under Cabinet of Ministers Resolution No. 26 dated 21.01.2025 for managers and engineers responsible for hazardous production facilities. [CCI_Samark...an_UZ.xlsx | Excel]"/>
    <hyperlink ref="K5" r:id="rId4" display="Mandatory qualification under Cabinet of Ministers Resolution No. 712 dated 11.11.2020 for electrical personnel performing independent work on electrical installations. [CCI_Samark...an_UZ.xlsx | Excel]"/>
    <hyperlink ref="K6" r:id="rId5" display="Mandatory qualification under Resolution No. 712 for supervisors and personnel issuing work permits and controlling electrical work. [CCI_Samark...an_UZ.xlsx | Excel]"/>
    <hyperlink ref="K7" r:id="rId6" display="Mandatory qualification under Resolution No. 712 for the person responsible for the electrical facilities of the plant. [CCI_Samark...an_UZ.xlsx | Excel]"/>
    <hyperlink ref="K8" r:id="rId7" display="Required by Law ZRU-57 and Resolution No. 26 for operation of steam boilers and hazardous production equipment. [CCI_Samark...an_UZ.xlsx | Excel]"/>
    <hyperlink ref="K9" r:id="rId8" display="Required under Law ZRU-57 and Order No. 258 for personnel responsible for pressure vessels, air receivers and CO₂ systems. [CCI_Samark...an_UZ.xlsx | Excel]"/>
    <hyperlink ref="K10" r:id="rId9" display="Required under Registration No. 1890 governing occupational safety when performing work at height. [CCI_Samark...an_UZ.xlsx | Excel]"/>
    <hyperlink ref="K11" r:id="rId10" display="Required under Fire Safety Law ZRU-226 for fire prevention, emergency response, evacuation and responsible personnel training. [CCI_Samark...an_UZ.xlsx | Excel]"/>
    <hyperlink ref="K12" r:id="rId11" display="Required under Cabinet of Ministers Resolution No. 754 and Civil Protection Law No. 80-II for emergency preparedness and response capability. [CCI_Samark...an_UZ.xlsx | Excel]"/>
    <hyperlink ref="K13" r:id="rId12" display="Required under Law ZRU-57 and industrial safety requirements for operation of gas-fired equipment and execution of gas-hazardous work. [CCI_Samark...an_UZ.xlsx | Excel]"/>
    <hyperlink ref="K14" r:id="rId13" display="Mandatory hygienic training for food handlers under sanitary and epidemiological requirements applicable to food production personnel. [CCI_Samark...an_UZ.xlsx | Excel]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F54DEA-B2BB-4A54-8439-91DDE414D088}">
  <dimension ref="A2:F41"/>
  <sheetViews>
    <sheetView workbookViewId="0" topLeftCell="A1">
      <selection pane="topLeft" activeCell="F19" sqref="F19"/>
    </sheetView>
  </sheetViews>
  <sheetFormatPr defaultRowHeight="15"/>
  <cols>
    <col min="2" max="2" width="12.4285714285714" bestFit="1" customWidth="1"/>
    <col min="3" max="3" width="20.7142857142857" customWidth="1"/>
    <col min="4" max="4" width="16" customWidth="1"/>
    <col min="5" max="5" width="11.5714285714286" bestFit="1" customWidth="1"/>
    <col min="6" max="6" width="20.5714285714286" customWidth="1"/>
  </cols>
  <sheetData>
    <row r="2" spans="2:6" ht="15">
      <c r="B2" s="4" t="s">
        <v>3</v>
      </c>
      <c r="C2" s="4" t="s">
        <v>2</v>
      </c>
      <c r="D2" s="4" t="s">
        <v>4</v>
      </c>
      <c r="E2" s="4" t="s">
        <v>0</v>
      </c>
      <c r="F2" s="4" t="s">
        <v>1</v>
      </c>
    </row>
    <row r="3" spans="1:6" ht="15">
      <c r="A3">
        <v>1</v>
      </c>
      <c r="B3" s="2"/>
      <c r="C3" s="2" t="s">
        <v>115</v>
      </c>
      <c r="D3" s="2" t="s">
        <v>94</v>
      </c>
      <c r="E3" s="2" t="s">
        <v>125</v>
      </c>
      <c r="F3" s="2" t="s">
        <v>137</v>
      </c>
    </row>
    <row r="4" spans="1:6" ht="15">
      <c r="A4">
        <v>2</v>
      </c>
      <c r="B4" s="2"/>
      <c r="C4" s="2" t="s">
        <v>116</v>
      </c>
      <c r="D4" s="2" t="s">
        <v>94</v>
      </c>
      <c r="E4" s="2" t="s">
        <v>126</v>
      </c>
      <c r="F4" s="2" t="s">
        <v>137</v>
      </c>
    </row>
    <row r="5" spans="1:6" ht="15">
      <c r="A5">
        <v>3</v>
      </c>
      <c r="B5" s="2"/>
      <c r="C5" s="2" t="s">
        <v>117</v>
      </c>
      <c r="D5" s="2" t="s">
        <v>94</v>
      </c>
      <c r="E5" s="2" t="s">
        <v>95</v>
      </c>
      <c r="F5" s="2" t="s">
        <v>137</v>
      </c>
    </row>
    <row r="6" spans="1:6" ht="15">
      <c r="A6">
        <v>4</v>
      </c>
      <c r="B6" s="2"/>
      <c r="C6" s="2" t="s">
        <v>118</v>
      </c>
      <c r="D6" s="2" t="s">
        <v>94</v>
      </c>
      <c r="E6" s="2" t="s">
        <v>126</v>
      </c>
      <c r="F6" s="2" t="s">
        <v>137</v>
      </c>
    </row>
    <row r="7" spans="1:6" ht="15">
      <c r="A7">
        <v>5</v>
      </c>
      <c r="B7" s="2"/>
      <c r="C7" s="2" t="s">
        <v>119</v>
      </c>
      <c r="D7" s="2" t="s">
        <v>94</v>
      </c>
      <c r="E7" s="2" t="s">
        <v>127</v>
      </c>
      <c r="F7" s="2" t="s">
        <v>137</v>
      </c>
    </row>
    <row r="8" spans="1:6" ht="15">
      <c r="A8">
        <v>6</v>
      </c>
      <c r="B8" s="2"/>
      <c r="C8" s="2" t="s">
        <v>120</v>
      </c>
      <c r="D8" s="2" t="s">
        <v>123</v>
      </c>
      <c r="E8" s="2" t="s">
        <v>124</v>
      </c>
      <c r="F8" s="2" t="s">
        <v>137</v>
      </c>
    </row>
    <row r="9" spans="1:6" ht="15">
      <c r="A9">
        <v>7</v>
      </c>
      <c r="B9" s="2"/>
      <c r="C9" s="2" t="s">
        <v>121</v>
      </c>
      <c r="D9" s="2" t="s">
        <v>94</v>
      </c>
      <c r="E9" s="2" t="s">
        <v>95</v>
      </c>
      <c r="F9" s="2" t="s">
        <v>137</v>
      </c>
    </row>
    <row r="10" spans="1:6" ht="15">
      <c r="A10">
        <v>8</v>
      </c>
      <c r="B10" s="2"/>
      <c r="C10" s="2" t="s">
        <v>122</v>
      </c>
      <c r="D10" s="2" t="s">
        <v>123</v>
      </c>
      <c r="E10" s="2" t="s">
        <v>123</v>
      </c>
      <c r="F10" s="2" t="s">
        <v>137</v>
      </c>
    </row>
    <row r="11" spans="1:6" ht="15">
      <c r="A11">
        <v>9</v>
      </c>
      <c r="B11" s="2"/>
      <c r="C11" s="2" t="s">
        <v>128</v>
      </c>
      <c r="D11" s="2" t="s">
        <v>94</v>
      </c>
      <c r="E11" s="2"/>
      <c r="F11" s="2" t="s">
        <v>137</v>
      </c>
    </row>
    <row r="12" spans="1:6" ht="15">
      <c r="A12">
        <v>10</v>
      </c>
      <c r="B12" s="2"/>
      <c r="C12" s="2" t="s">
        <v>129</v>
      </c>
      <c r="D12" s="2" t="s">
        <v>94</v>
      </c>
      <c r="E12" s="2" t="s">
        <v>136</v>
      </c>
      <c r="F12" s="2" t="s">
        <v>137</v>
      </c>
    </row>
    <row r="13" spans="1:6" ht="15">
      <c r="A13">
        <v>11</v>
      </c>
      <c r="B13" s="2"/>
      <c r="C13" s="2" t="s">
        <v>130</v>
      </c>
      <c r="D13" s="2" t="s">
        <v>94</v>
      </c>
      <c r="E13" s="2" t="s">
        <v>135</v>
      </c>
      <c r="F13" s="2" t="s">
        <v>137</v>
      </c>
    </row>
    <row r="14" spans="1:6" ht="15">
      <c r="A14">
        <v>12</v>
      </c>
      <c r="B14" s="2"/>
      <c r="C14" s="2" t="s">
        <v>131</v>
      </c>
      <c r="D14" s="2" t="s">
        <v>94</v>
      </c>
      <c r="E14" s="2" t="s">
        <v>125</v>
      </c>
      <c r="F14" s="2" t="s">
        <v>137</v>
      </c>
    </row>
    <row r="15" spans="1:6" ht="15">
      <c r="A15">
        <v>13</v>
      </c>
      <c r="B15" s="2"/>
      <c r="C15" s="2" t="s">
        <v>132</v>
      </c>
      <c r="D15" s="2" t="s">
        <v>94</v>
      </c>
      <c r="E15" s="2" t="s">
        <v>125</v>
      </c>
      <c r="F15" s="2" t="s">
        <v>137</v>
      </c>
    </row>
    <row r="16" spans="1:6" ht="15">
      <c r="A16">
        <v>14</v>
      </c>
      <c r="B16" s="2"/>
      <c r="C16" s="2" t="s">
        <v>133</v>
      </c>
      <c r="D16" s="2" t="s">
        <v>94</v>
      </c>
      <c r="E16" s="2" t="s">
        <v>125</v>
      </c>
      <c r="F16" s="2" t="s">
        <v>137</v>
      </c>
    </row>
    <row r="17" spans="1:6" ht="15">
      <c r="A17">
        <v>15</v>
      </c>
      <c r="B17" s="2"/>
      <c r="C17" s="2" t="s">
        <v>134</v>
      </c>
      <c r="D17" s="2" t="s">
        <v>94</v>
      </c>
      <c r="E17" s="2" t="s">
        <v>125</v>
      </c>
      <c r="F17" s="2" t="s">
        <v>137</v>
      </c>
    </row>
    <row r="18" spans="1:6" ht="15">
      <c r="A18">
        <v>16</v>
      </c>
      <c r="B18" s="2"/>
      <c r="C18" s="2" t="s">
        <v>117</v>
      </c>
      <c r="D18" s="2" t="s">
        <v>94</v>
      </c>
      <c r="E18" s="2" t="s">
        <v>95</v>
      </c>
      <c r="F18" s="2" t="s">
        <v>138</v>
      </c>
    </row>
    <row r="19" spans="2:6" ht="15">
      <c r="B19" s="2"/>
      <c r="C19" s="2"/>
      <c r="D19" s="2"/>
      <c r="E19" s="2"/>
      <c r="F19" s="2"/>
    </row>
    <row r="20" spans="2:6" ht="15">
      <c r="B20" s="2"/>
      <c r="C20" s="2"/>
      <c r="D20" s="2"/>
      <c r="E20" s="2"/>
      <c r="F20" s="2"/>
    </row>
    <row r="21" spans="2:6" ht="15">
      <c r="B21" s="2"/>
      <c r="C21" s="2"/>
      <c r="D21" s="2"/>
      <c r="E21" s="2"/>
      <c r="F21" s="2"/>
    </row>
    <row r="22" spans="2:6" ht="15">
      <c r="B22" s="2"/>
      <c r="C22" s="2"/>
      <c r="D22" s="2"/>
      <c r="E22" s="2"/>
      <c r="F22" s="2"/>
    </row>
    <row r="23" spans="2:6" ht="15">
      <c r="B23" s="2"/>
      <c r="C23" s="2"/>
      <c r="D23" s="2"/>
      <c r="E23" s="2"/>
      <c r="F23" s="2"/>
    </row>
    <row r="24" spans="2:6" ht="15">
      <c r="B24" s="2"/>
      <c r="C24" s="2"/>
      <c r="D24" s="2"/>
      <c r="E24" s="2"/>
      <c r="F24" s="2"/>
    </row>
    <row r="25" spans="2:6" ht="15">
      <c r="B25" s="2"/>
      <c r="C25" s="2"/>
      <c r="D25" s="2"/>
      <c r="E25" s="2"/>
      <c r="F25" s="2"/>
    </row>
    <row r="26" spans="2:6" ht="15">
      <c r="B26" s="2"/>
      <c r="C26" s="2"/>
      <c r="D26" s="2"/>
      <c r="E26" s="2"/>
      <c r="F26" s="2"/>
    </row>
    <row r="27" spans="2:6" ht="15">
      <c r="B27" s="2"/>
      <c r="C27" s="2"/>
      <c r="D27" s="2"/>
      <c r="E27" s="2"/>
      <c r="F27" s="2"/>
    </row>
    <row r="28" spans="2:6" ht="15">
      <c r="B28" s="2"/>
      <c r="C28" s="2"/>
      <c r="D28" s="2"/>
      <c r="E28" s="2"/>
      <c r="F28" s="2"/>
    </row>
    <row r="29" spans="2:6" ht="15">
      <c r="B29" s="2"/>
      <c r="C29" s="2"/>
      <c r="D29" s="2"/>
      <c r="E29" s="2"/>
      <c r="F29" s="2"/>
    </row>
    <row r="30" spans="2:6" ht="15">
      <c r="B30" s="2"/>
      <c r="C30" s="2"/>
      <c r="D30" s="2"/>
      <c r="E30" s="2"/>
      <c r="F30" s="2"/>
    </row>
    <row r="31" spans="2:6" ht="15">
      <c r="B31" s="2"/>
      <c r="C31" s="2"/>
      <c r="D31" s="2"/>
      <c r="E31" s="2"/>
      <c r="F31" s="2"/>
    </row>
    <row r="32" spans="2:6" ht="15">
      <c r="B32" s="2"/>
      <c r="C32" s="2"/>
      <c r="D32" s="2"/>
      <c r="E32" s="2"/>
      <c r="F32" s="2"/>
    </row>
    <row r="33" spans="2:6" ht="15">
      <c r="B33" s="2"/>
      <c r="C33" s="2"/>
      <c r="D33" s="2"/>
      <c r="E33" s="2"/>
      <c r="F33" s="2"/>
    </row>
    <row r="34" spans="2:6" ht="15">
      <c r="B34" s="2"/>
      <c r="C34" s="2"/>
      <c r="D34" s="2"/>
      <c r="E34" s="2"/>
      <c r="F34" s="2"/>
    </row>
    <row r="35" spans="2:6" ht="15">
      <c r="B35" s="2"/>
      <c r="C35" s="2"/>
      <c r="D35" s="2"/>
      <c r="E35" s="2"/>
      <c r="F35" s="2"/>
    </row>
    <row r="36" spans="2:6" ht="15">
      <c r="B36" s="2"/>
      <c r="C36" s="2"/>
      <c r="D36" s="2"/>
      <c r="E36" s="2"/>
      <c r="F36" s="2"/>
    </row>
    <row r="37" spans="2:6" ht="15">
      <c r="B37" s="2"/>
      <c r="C37" s="2"/>
      <c r="D37" s="2"/>
      <c r="E37" s="2"/>
      <c r="F37" s="2"/>
    </row>
    <row r="38" spans="2:6" ht="15">
      <c r="B38" s="2"/>
      <c r="C38" s="2"/>
      <c r="D38" s="2"/>
      <c r="E38" s="2"/>
      <c r="F38" s="2"/>
    </row>
    <row r="39" spans="2:6" ht="15">
      <c r="B39" s="2"/>
      <c r="C39" s="2"/>
      <c r="D39" s="2"/>
      <c r="E39" s="2"/>
      <c r="F39" s="2"/>
    </row>
    <row r="40" spans="2:6" ht="15">
      <c r="B40" s="2"/>
      <c r="C40" s="2"/>
      <c r="D40" s="2"/>
      <c r="E40" s="2"/>
      <c r="F40" s="2"/>
    </row>
    <row r="41" spans="2:6" ht="15">
      <c r="B41" s="2"/>
      <c r="C41" s="2"/>
      <c r="D41" s="2"/>
      <c r="E41" s="2"/>
      <c r="F41" s="2"/>
    </row>
  </sheetData>
  <pageMargins left="0.7" right="0.7" top="0.75" bottom="0.75" header="0.3" footer="0.3"/>
  <headerFooter>
    <oddFooter>&amp;C_x000d_&amp;1#&amp;"Aptos"&amp;10&amp;KA80000 CONFIDENTIAL</oddFoot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158212-6b7f-4416-9073-1bd5a4e9b27f">
      <Terms xmlns="http://schemas.microsoft.com/office/infopath/2007/PartnerControls"/>
    </lcf76f155ced4ddcb4097134ff3c332f>
    <TaxCatchAll xmlns="9a26b1e0-3d3d-48cb-8701-4ad4075600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F7E1555E3F84FA1085ADDCEF58E68" ma:contentTypeVersion="16" ma:contentTypeDescription="Create a new document." ma:contentTypeScope="" ma:versionID="0ebcc33b7b73b3a8789030f341553dfd">
  <xsd:schema xmlns:xsd="http://www.w3.org/2001/XMLSchema" xmlns:xs="http://www.w3.org/2001/XMLSchema" xmlns:p="http://schemas.microsoft.com/office/2006/metadata/properties" xmlns:ns2="24158212-6b7f-4416-9073-1bd5a4e9b27f" xmlns:ns3="9a26b1e0-3d3d-48cb-8701-4ad407560001" targetNamespace="http://schemas.microsoft.com/office/2006/metadata/properties" ma:root="true" ma:fieldsID="faab6c6d5c1e1ef90b9c3bd3b20769d0" ns2:_="" ns3:_="">
    <xsd:import namespace="24158212-6b7f-4416-9073-1bd5a4e9b27f"/>
    <xsd:import namespace="9a26b1e0-3d3d-48cb-8701-4ad407560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58212-6b7f-4416-9073-1bd5a4e9b2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6b1e0-3d3d-48cb-8701-4ad40756000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89f5bf2-3c99-4ae5-8161-a8a4ef56aa3f}" ma:internalName="TaxCatchAll" ma:showField="CatchAllData" ma:web="9a26b1e0-3d3d-48cb-8701-4ad407560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F4043B-025B-42CC-B72A-6DBB43ED10D3}">
  <ds:schemaRefs>
    <ds:schemaRef ds:uri="http://schemas.microsoft.com/office/2006/metadata/properties"/>
    <ds:schemaRef ds:uri="http://schemas.microsoft.com/office/infopath/2007/PartnerControls"/>
    <ds:schemaRef ds:uri="24158212-6b7f-4416-9073-1bd5a4e9b27f"/>
    <ds:schemaRef ds:uri="9a26b1e0-3d3d-48cb-8701-4ad407560001"/>
  </ds:schemaRefs>
</ds:datastoreItem>
</file>

<file path=customXml/itemProps2.xml><?xml version="1.0" encoding="utf-8"?>
<ds:datastoreItem xmlns:ds="http://schemas.openxmlformats.org/officeDocument/2006/customXml" ds:itemID="{C64412E4-D6A5-4FEB-A15D-096CB2418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8E1418-2E89-4E65-8FBB-2DE14B4F7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58212-6b7f-4416-9073-1bd5a4e9b27f"/>
    <ds:schemaRef ds:uri="9a26b1e0-3d3d-48cb-8701-4ad407560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 Eng</vt:lpstr>
      <vt:lpstr>Instruction Ru</vt:lpstr>
      <vt:lpstr>Training Details</vt:lpstr>
      <vt:lpstr>Sheet1</vt:lpstr>
      <vt:lpstr>Particiants 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Mohinur Robertson</dc:creator>
  <cp:keywords/>
  <dc:description/>
  <cp:lastModifiedBy>Timurmalik Buranov</cp:lastModifiedBy>
  <dcterms:created xsi:type="dcterms:W3CDTF">2026-10-08T05:02:14Z</dcterms:created>
  <dcterms:modified xsi:type="dcterms:W3CDTF">2026-10-17T07:49:31Z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757bc1-b9aa-4cb7-94ca-0a17dcc24209_Enabled">
    <vt:lpwstr>true</vt:lpwstr>
  </property>
  <property fmtid="{D5CDD505-2E9C-101B-9397-08002B2CF9AE}" pid="3" name="MSIP_Label_e2757bc1-b9aa-4cb7-94ca-0a17dcc24209_SetDate">
    <vt:lpwstr>2026-10-08T05:56:16Z</vt:lpwstr>
  </property>
  <property fmtid="{D5CDD505-2E9C-101B-9397-08002B2CF9AE}" pid="4" name="MSIP_Label_e2757bc1-b9aa-4cb7-94ca-0a17dcc24209_Method">
    <vt:lpwstr>Privileged</vt:lpwstr>
  </property>
  <property fmtid="{D5CDD505-2E9C-101B-9397-08002B2CF9AE}" pid="5" name="MSIP_Label_e2757bc1-b9aa-4cb7-94ca-0a17dcc24209_Name">
    <vt:lpwstr>e2757bc1-b9aa-4cb7-94ca-0a17dcc24209</vt:lpwstr>
  </property>
  <property fmtid="{D5CDD505-2E9C-101B-9397-08002B2CF9AE}" pid="6" name="MSIP_Label_e2757bc1-b9aa-4cb7-94ca-0a17dcc24209_SiteId">
    <vt:lpwstr>e4dddef5-d743-42fa-99da-83120e7bf32e</vt:lpwstr>
  </property>
  <property fmtid="{D5CDD505-2E9C-101B-9397-08002B2CF9AE}" pid="7" name="MSIP_Label_e2757bc1-b9aa-4cb7-94ca-0a17dcc24209_ActionId">
    <vt:lpwstr>9354a023-479f-442f-a77f-b5ec47a9f0db</vt:lpwstr>
  </property>
  <property fmtid="{D5CDD505-2E9C-101B-9397-08002B2CF9AE}" pid="8" name="MSIP_Label_e2757bc1-b9aa-4cb7-94ca-0a17dcc24209_ContentBits">
    <vt:lpwstr>2</vt:lpwstr>
  </property>
  <property fmtid="{D5CDD505-2E9C-101B-9397-08002B2CF9AE}" pid="9" name="MSIP_Label_e2757bc1-b9aa-4cb7-94ca-0a17dcc24209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0x0101008CFF7E1555E3F84FA1085ADDCEF58E68</vt:lpwstr>
  </property>
</Properties>
</file>